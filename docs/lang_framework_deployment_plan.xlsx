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KPIs" sheetId="1" state="visible" r:id="rId1"/>
    <sheet xmlns:r="http://schemas.openxmlformats.org/officeDocument/2006/relationships" name="Deployment Roadmap &amp; Tasks" sheetId="2" state="visible" r:id="rId2"/>
    <sheet xmlns:r="http://schemas.openxmlformats.org/officeDocument/2006/relationships" name="Workflow Specifications" sheetId="3" state="visible" r:id="rId3"/>
    <sheet xmlns:r="http://schemas.openxmlformats.org/officeDocument/2006/relationships" name="Integrity &amp; Validation 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6" borderId="0" applyAlignment="1" pivotButton="0" quotePrefix="0" xfId="0">
      <alignment horizontal="center" vertical="center"/>
    </xf>
    <xf numFmtId="0" fontId="3" fillId="0" borderId="1" pivotButton="0" quotePrefix="0" xfId="0"/>
    <xf numFmtId="3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35" customWidth="1" min="4" max="4"/>
  </cols>
  <sheetData>
    <row r="1">
      <c r="A1" s="1" t="inlineStr">
        <is>
          <t>Lang Framework Enterprise Deployment Plan</t>
        </is>
      </c>
    </row>
    <row r="2">
      <c r="A2" s="2" t="inlineStr">
        <is>
          <t>Operationalizing LangChain, LangGraph, LangSmith &amp; OEE Agentic Runtimes | Version 1.0</t>
        </is>
      </c>
    </row>
    <row r="3"/>
    <row r="4">
      <c r="A4" s="3" t="inlineStr">
        <is>
          <t>FORMATTING LEGEND</t>
        </is>
      </c>
    </row>
    <row r="5">
      <c r="A5" s="4" t="inlineStr">
        <is>
          <t>Blue Fill (#DCE6F1)</t>
        </is>
      </c>
      <c r="B5" s="5" t="inlineStr">
        <is>
          <t>User Input / Editable Parameter</t>
        </is>
      </c>
    </row>
    <row r="6">
      <c r="A6" s="6" t="inlineStr">
        <is>
          <t>Green Fill (#E2EFDA)</t>
        </is>
      </c>
      <c r="B6" s="5" t="inlineStr">
        <is>
          <t>Computed / Calculated Cell</t>
        </is>
      </c>
    </row>
    <row r="7">
      <c r="A7" s="7" t="inlineStr">
        <is>
          <t>Light Gray (#F9FAFB)</t>
        </is>
      </c>
      <c r="B7" s="5" t="inlineStr">
        <is>
          <t>Standard Data / Task Row</t>
        </is>
      </c>
    </row>
    <row r="8">
      <c r="A8" s="8" t="inlineStr">
        <is>
          <t>Red Alert (#FCE4D6)</t>
        </is>
      </c>
      <c r="B8" s="5" t="inlineStr">
        <is>
          <t>Blocked Status / Imbalance Warning</t>
        </is>
      </c>
    </row>
    <row r="9"/>
    <row r="10" ht="24" customHeight="1">
      <c r="A10" s="3" t="inlineStr">
        <is>
          <t>DEPLOYMENT METRICS &amp; STATUS SUMMARY</t>
        </is>
      </c>
    </row>
    <row r="11">
      <c r="A11" s="9" t="inlineStr">
        <is>
          <t>Metric / Indicator</t>
        </is>
      </c>
      <c r="B11" s="9" t="inlineStr">
        <is>
          <t>Value</t>
        </is>
      </c>
      <c r="C11" s="9" t="inlineStr">
        <is>
          <t>Target / Standard</t>
        </is>
      </c>
      <c r="D11" s="9" t="inlineStr">
        <is>
          <t>Status Note</t>
        </is>
      </c>
    </row>
    <row r="12">
      <c r="A12" s="10" t="inlineStr">
        <is>
          <t>Total Planned Deployment Tasks</t>
        </is>
      </c>
      <c r="B12" s="11">
        <f>'Deployment Roadmap &amp; Tasks'!B2</f>
        <v/>
      </c>
      <c r="C12" s="12" t="inlineStr">
        <is>
          <t>32 Tasks</t>
        </is>
      </c>
      <c r="D12" s="13" t="inlineStr">
        <is>
          <t>Complete WBS breakdown</t>
        </is>
      </c>
    </row>
    <row r="13">
      <c r="A13" s="10" t="inlineStr">
        <is>
          <t>Completed Tasks</t>
        </is>
      </c>
      <c r="B13" s="11">
        <f>COUNTIF('Deployment Roadmap &amp; Tasks'!I4:I35, "Completed")</f>
        <v/>
      </c>
      <c r="C13" s="12" t="inlineStr">
        <is>
          <t>32 Tasks</t>
        </is>
      </c>
      <c r="D13" s="13" t="inlineStr">
        <is>
          <t>Tracked in roadmap tab</t>
        </is>
      </c>
    </row>
    <row r="14">
      <c r="A14" s="10" t="inlineStr">
        <is>
          <t>In Progress Tasks</t>
        </is>
      </c>
      <c r="B14" s="14">
        <f>COUNTIF('Deployment Roadmap &amp; Tasks'!I4:I35, "In Progress")</f>
        <v/>
      </c>
      <c r="C14" s="12" t="inlineStr">
        <is>
          <t>0 Tasks</t>
        </is>
      </c>
      <c r="D14" s="13" t="inlineStr">
        <is>
          <t>Active sprint work</t>
        </is>
      </c>
    </row>
    <row r="15">
      <c r="A15" s="10" t="inlineStr">
        <is>
          <t>Blocked Tasks</t>
        </is>
      </c>
      <c r="B15" s="11">
        <f>COUNTIF('Deployment Roadmap &amp; Tasks'!I4:I35, "Blocked")</f>
        <v/>
      </c>
      <c r="C15" s="12" t="inlineStr">
        <is>
          <t>0 Tasks</t>
        </is>
      </c>
      <c r="D15" s="13" t="inlineStr">
        <is>
          <t>Requires escalation if &gt; 0</t>
        </is>
      </c>
    </row>
    <row r="16">
      <c r="A16" s="10" t="inlineStr">
        <is>
          <t>Not Started Tasks</t>
        </is>
      </c>
      <c r="B16" s="11">
        <f>COUNTIF('Deployment Roadmap &amp; Tasks'!I4:I35, "Not Started")</f>
        <v/>
      </c>
      <c r="C16" s="12" t="inlineStr">
        <is>
          <t>0 Tasks</t>
        </is>
      </c>
      <c r="D16" s="13" t="inlineStr">
        <is>
          <t>Pending predecessor tasks</t>
        </is>
      </c>
    </row>
    <row r="17">
      <c r="A17" s="10" t="inlineStr">
        <is>
          <t>Deployment Progress (%)</t>
        </is>
      </c>
      <c r="B17" s="14">
        <f>COUNTIF('Deployment Roadmap &amp; Tasks'!I4:I35, "Completed")/COUNTA('Deployment Roadmap &amp; Tasks'!A4:A35)</f>
        <v/>
      </c>
      <c r="C17" s="12" t="inlineStr">
        <is>
          <t>100.0%</t>
        </is>
      </c>
      <c r="D17" s="13" t="inlineStr">
        <is>
          <t>Formula driven completion rate</t>
        </is>
      </c>
    </row>
    <row r="18">
      <c r="A18" s="10" t="inlineStr">
        <is>
          <t>Critical Path Timeline (Days)</t>
        </is>
      </c>
      <c r="B18" s="11">
        <f>MAX('Deployment Roadmap &amp; Tasks'!H4:H35)</f>
        <v/>
      </c>
      <c r="C18" s="12" t="inlineStr">
        <is>
          <t>38 Days</t>
        </is>
      </c>
      <c r="D18" s="13" t="inlineStr">
        <is>
          <t>Sequential predecessor timeline</t>
        </is>
      </c>
    </row>
    <row r="19">
      <c r="A19" s="10" t="inlineStr">
        <is>
          <t>Operational Workflows Configured</t>
        </is>
      </c>
      <c r="B19" s="11">
        <f>COUNTA('Workflow Specifications'!A4:A8)</f>
        <v/>
      </c>
      <c r="C19" s="12" t="inlineStr">
        <is>
          <t>5 Workflows</t>
        </is>
      </c>
      <c r="D19" s="13" t="inlineStr">
        <is>
          <t>Fully specified agentic patterns</t>
        </is>
      </c>
    </row>
    <row r="20">
      <c r="A20" s="10" t="inlineStr">
        <is>
          <t>OEE Runtime Safety Compliant</t>
        </is>
      </c>
      <c r="B20" s="15">
        <f>IF('Integrity &amp; Validation Checks'!C8="PASSED", "YES", "NO")</f>
        <v/>
      </c>
      <c r="C20" s="12" t="inlineStr">
        <is>
          <t>YES</t>
        </is>
      </c>
      <c r="D20" s="13" t="inlineStr">
        <is>
          <t>Validated against OEE invariants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18" customWidth="1" min="4" max="4"/>
    <col width="15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65" customWidth="1" min="11" max="11"/>
  </cols>
  <sheetData>
    <row r="1">
      <c r="A1" s="1" t="inlineStr">
        <is>
          <t>Lang Framework Deployment Task Breakdown Structure (WBS)</t>
        </is>
      </c>
    </row>
    <row r="2">
      <c r="A2" s="2" t="inlineStr">
        <is>
          <t>Detailed tasks, owners, dependencies, durations, and architectural annotations</t>
        </is>
      </c>
    </row>
    <row r="3" ht="28" customHeight="1">
      <c r="A3" s="16" t="inlineStr">
        <is>
          <t>Task ID</t>
        </is>
      </c>
      <c r="B3" s="16" t="inlineStr">
        <is>
          <t>Task Name</t>
        </is>
      </c>
      <c r="C3" s="16" t="inlineStr">
        <is>
          <t>Phase / Category</t>
        </is>
      </c>
      <c r="D3" s="16" t="inlineStr">
        <is>
          <t>Owner Role</t>
        </is>
      </c>
      <c r="E3" s="16" t="inlineStr">
        <is>
          <t>Predecessor ID</t>
        </is>
      </c>
      <c r="F3" s="16" t="inlineStr">
        <is>
          <t>Est. Days</t>
        </is>
      </c>
      <c r="G3" s="16" t="inlineStr">
        <is>
          <t>Start Day</t>
        </is>
      </c>
      <c r="H3" s="16" t="inlineStr">
        <is>
          <t>End Day</t>
        </is>
      </c>
      <c r="I3" s="16" t="inlineStr">
        <is>
          <t>Status</t>
        </is>
      </c>
      <c r="J3" s="16" t="inlineStr">
        <is>
          <t>Priority</t>
        </is>
      </c>
      <c r="K3" s="16" t="inlineStr">
        <is>
          <t>Technical Annotation &amp; Architectural Guidance</t>
        </is>
      </c>
    </row>
    <row r="4" ht="22" customHeight="1">
      <c r="A4" s="17" t="inlineStr">
        <is>
          <t>T1.1</t>
        </is>
      </c>
      <c r="B4" s="18" t="inlineStr">
        <is>
          <t>Provision Checkpointer Storage (Postgres &amp; Redis)</t>
        </is>
      </c>
      <c r="C4" s="19" t="inlineStr">
        <is>
          <t>Phase 1: Infra Setup</t>
        </is>
      </c>
      <c r="D4" s="12" t="inlineStr">
        <is>
          <t>Infra Lead</t>
        </is>
      </c>
      <c r="E4" s="12" t="inlineStr">
        <is>
          <t>-</t>
        </is>
      </c>
      <c r="F4" s="20" t="n">
        <v>2</v>
      </c>
      <c r="G4" s="21" t="inlineStr">
        <is>
          <t>1</t>
        </is>
      </c>
      <c r="H4" s="11">
        <f>G4+F4</f>
        <v/>
      </c>
      <c r="I4" s="15" t="inlineStr">
        <is>
          <t>Completed</t>
        </is>
      </c>
      <c r="J4" s="12" t="inlineStr">
        <is>
          <t>High</t>
        </is>
      </c>
      <c r="K4" s="22" t="inlineStr">
        <is>
          <t>Deploy PostgreSQL instance with PgVector and Redis for PostgresSaver and RedisSaver checkpointer thread state snapshotting.</t>
        </is>
      </c>
    </row>
    <row r="5" ht="22" customHeight="1">
      <c r="A5" s="23" t="inlineStr">
        <is>
          <t>T1.2</t>
        </is>
      </c>
      <c r="B5" s="24" t="inlineStr">
        <is>
          <t>Provision Cross-Thread Long-Term Store (BaseStore)</t>
        </is>
      </c>
      <c r="C5" s="25" t="inlineStr">
        <is>
          <t>Phase 1: Infra Setup</t>
        </is>
      </c>
      <c r="D5" s="26" t="inlineStr">
        <is>
          <t>Infra Lead</t>
        </is>
      </c>
      <c r="E5" s="26" t="inlineStr">
        <is>
          <t>T1.1</t>
        </is>
      </c>
      <c r="F5" s="20" t="n">
        <v>2</v>
      </c>
      <c r="G5" s="21">
        <f>H4</f>
        <v/>
      </c>
      <c r="H5" s="11">
        <f>G5+F5</f>
        <v/>
      </c>
      <c r="I5" s="15" t="inlineStr">
        <is>
          <t>Completed</t>
        </is>
      </c>
      <c r="J5" s="26" t="inlineStr">
        <is>
          <t>High</t>
        </is>
      </c>
      <c r="K5" s="27" t="inlineStr">
        <is>
          <t>Configure PgStore / BaseStore instance for persistent long-term memory across threads using hierarchical tuple namespaces.</t>
        </is>
      </c>
    </row>
    <row r="6" ht="22" customHeight="1">
      <c r="A6" s="17" t="inlineStr">
        <is>
          <t>T1.3</t>
        </is>
      </c>
      <c r="B6" s="18" t="inlineStr">
        <is>
          <t>Configure Multi-Provider LLM Gateway</t>
        </is>
      </c>
      <c r="C6" s="19" t="inlineStr">
        <is>
          <t>Phase 1: Infra Setup</t>
        </is>
      </c>
      <c r="D6" s="12" t="inlineStr">
        <is>
          <t>AI Platform Eng</t>
        </is>
      </c>
      <c r="E6" s="12" t="inlineStr">
        <is>
          <t>-</t>
        </is>
      </c>
      <c r="F6" s="20" t="n">
        <v>1</v>
      </c>
      <c r="G6" s="21" t="inlineStr">
        <is>
          <t>1</t>
        </is>
      </c>
      <c r="H6" s="11">
        <f>G6+F6</f>
        <v/>
      </c>
      <c r="I6" s="15" t="inlineStr">
        <is>
          <t>Completed</t>
        </is>
      </c>
      <c r="J6" s="12" t="inlineStr">
        <is>
          <t>High</t>
        </is>
      </c>
      <c r="K6" s="22" t="inlineStr">
        <is>
          <t>Set up unified chat model abstraction using init_chat_model for OpenAI (GPT-4o), Anthropic (Claude 3.5 Sonnet), and Google Vertex AI (Gemini).</t>
        </is>
      </c>
    </row>
    <row r="7" ht="22" customHeight="1">
      <c r="A7" s="23" t="inlineStr">
        <is>
          <t>T1.4</t>
        </is>
      </c>
      <c r="B7" s="24" t="inlineStr">
        <is>
          <t>Provision Observability Accounts (LangSmith &amp; Langfuse)</t>
        </is>
      </c>
      <c r="C7" s="25" t="inlineStr">
        <is>
          <t>Phase 1: Infra Setup</t>
        </is>
      </c>
      <c r="D7" s="26" t="inlineStr">
        <is>
          <t>DevOps Eng</t>
        </is>
      </c>
      <c r="E7" s="26" t="inlineStr">
        <is>
          <t>-</t>
        </is>
      </c>
      <c r="F7" s="20" t="n">
        <v>1</v>
      </c>
      <c r="G7" s="21" t="inlineStr">
        <is>
          <t>1</t>
        </is>
      </c>
      <c r="H7" s="11">
        <f>G7+F7</f>
        <v/>
      </c>
      <c r="I7" s="15" t="inlineStr">
        <is>
          <t>Completed</t>
        </is>
      </c>
      <c r="J7" s="26" t="inlineStr">
        <is>
          <t>Medium</t>
        </is>
      </c>
      <c r="K7" s="27" t="inlineStr">
        <is>
          <t>Configure project API keys, tenant tracing endpoints, and environment variables (LANGCHAIN_TRACING_V2=true).</t>
        </is>
      </c>
    </row>
    <row r="8" ht="22" customHeight="1">
      <c r="A8" s="17" t="inlineStr">
        <is>
          <t>T2.1</t>
        </is>
      </c>
      <c r="B8" s="18" t="inlineStr">
        <is>
          <t>Implement OpenTelemetry &amp; OpenInference Tracing</t>
        </is>
      </c>
      <c r="C8" s="19" t="inlineStr">
        <is>
          <t>Phase 1: Infra Setup</t>
        </is>
      </c>
      <c r="D8" s="12" t="inlineStr">
        <is>
          <t>Observability Eng</t>
        </is>
      </c>
      <c r="E8" s="12" t="inlineStr">
        <is>
          <t>T1.4</t>
        </is>
      </c>
      <c r="F8" s="20" t="n">
        <v>2</v>
      </c>
      <c r="G8" s="21">
        <f>H7</f>
        <v/>
      </c>
      <c r="H8" s="11">
        <f>G8+F8</f>
        <v/>
      </c>
      <c r="I8" s="15" t="inlineStr">
        <is>
          <t>Completed</t>
        </is>
      </c>
      <c r="J8" s="12" t="inlineStr">
        <is>
          <t>High</t>
        </is>
      </c>
      <c r="K8" s="22" t="inlineStr">
        <is>
          <t>Integrate openinference-instrumentation-langchain and OpenTelemetry SDK for span generation across model calls and graph steps.</t>
        </is>
      </c>
    </row>
    <row r="9" ht="22" customHeight="1">
      <c r="A9" s="23" t="inlineStr">
        <is>
          <t>T2.2</t>
        </is>
      </c>
      <c r="B9" s="24" t="inlineStr">
        <is>
          <t>Build Custom Callback Handler Library</t>
        </is>
      </c>
      <c r="C9" s="25" t="inlineStr">
        <is>
          <t>Phase 1: Infra Setup</t>
        </is>
      </c>
      <c r="D9" s="26" t="inlineStr">
        <is>
          <t>Backend Eng</t>
        </is>
      </c>
      <c r="E9" s="26" t="inlineStr">
        <is>
          <t>T1.3</t>
        </is>
      </c>
      <c r="F9" s="20" t="n">
        <v>2</v>
      </c>
      <c r="G9" s="21">
        <f>H6</f>
        <v/>
      </c>
      <c r="H9" s="11">
        <f>G9+F9</f>
        <v/>
      </c>
      <c r="I9" s="15" t="inlineStr">
        <is>
          <t>Completed</t>
        </is>
      </c>
      <c r="J9" s="26" t="inlineStr">
        <is>
          <t>Medium</t>
        </is>
      </c>
      <c r="K9" s="27" t="inlineStr">
        <is>
          <t>Implement custom BaseCallbackHandler subclasses for real-time token count aggregation, latency tracking, and streaming callbacks.</t>
        </is>
      </c>
    </row>
    <row r="10" ht="22" customHeight="1">
      <c r="A10" s="17" t="inlineStr">
        <is>
          <t>T2.3</t>
        </is>
      </c>
      <c r="B10" s="18" t="inlineStr">
        <is>
          <t>Construct Unified State Schema Library</t>
        </is>
      </c>
      <c r="C10" s="19" t="inlineStr">
        <is>
          <t>Phase 2: Core Middleware</t>
        </is>
      </c>
      <c r="D10" s="12" t="inlineStr">
        <is>
          <t>AI Architect</t>
        </is>
      </c>
      <c r="E10" s="12" t="inlineStr">
        <is>
          <t>T1.3</t>
        </is>
      </c>
      <c r="F10" s="20" t="n">
        <v>3</v>
      </c>
      <c r="G10" s="21">
        <f>H6</f>
        <v/>
      </c>
      <c r="H10" s="11">
        <f>G10+F10</f>
        <v/>
      </c>
      <c r="I10" s="15" t="inlineStr">
        <is>
          <t>Completed</t>
        </is>
      </c>
      <c r="J10" s="12" t="inlineStr">
        <is>
          <t>High</t>
        </is>
      </c>
      <c r="K10" s="22" t="inlineStr">
        <is>
          <t>Create strongly typed Pydantic models and TypedDict state structures enforcing Ontological domain boundaries (omega_tau).</t>
        </is>
      </c>
    </row>
    <row r="11" ht="22" customHeight="1">
      <c r="A11" s="23" t="inlineStr">
        <is>
          <t>T3.1</t>
        </is>
      </c>
      <c r="B11" s="24" t="inlineStr">
        <is>
          <t>Develop ReAct Agent Core Node</t>
        </is>
      </c>
      <c r="C11" s="25" t="inlineStr">
        <is>
          <t>Phase 3: Workflow 1 (ReAct)</t>
        </is>
      </c>
      <c r="D11" s="26" t="inlineStr">
        <is>
          <t>AI Eng</t>
        </is>
      </c>
      <c r="E11" s="26" t="inlineStr">
        <is>
          <t>T2.3</t>
        </is>
      </c>
      <c r="F11" s="20" t="n">
        <v>2</v>
      </c>
      <c r="G11" s="21">
        <f>H10</f>
        <v/>
      </c>
      <c r="H11" s="11">
        <f>G11+F11</f>
        <v/>
      </c>
      <c r="I11" s="15" t="inlineStr">
        <is>
          <t>Completed</t>
        </is>
      </c>
      <c r="J11" s="26" t="inlineStr">
        <is>
          <t>High</t>
        </is>
      </c>
      <c r="K11" s="27" t="inlineStr">
        <is>
          <t>Build single-agent ReAct loop using create_agent with dynamic tool binding and explicit prompt templates.</t>
        </is>
      </c>
    </row>
    <row r="12" ht="22" customHeight="1">
      <c r="A12" s="17" t="inlineStr">
        <is>
          <t>T3.2</t>
        </is>
      </c>
      <c r="B12" s="18" t="inlineStr">
        <is>
          <t>Attach Input/Output Guardrails Middleware</t>
        </is>
      </c>
      <c r="C12" s="19" t="inlineStr">
        <is>
          <t>Phase 3: Workflow 1 (ReAct)</t>
        </is>
      </c>
      <c r="D12" s="12" t="inlineStr">
        <is>
          <t>Security Eng</t>
        </is>
      </c>
      <c r="E12" s="12" t="inlineStr">
        <is>
          <t>T3.1</t>
        </is>
      </c>
      <c r="F12" s="20" t="n">
        <v>2</v>
      </c>
      <c r="G12" s="21">
        <f>H11</f>
        <v/>
      </c>
      <c r="H12" s="11">
        <f>G12+F12</f>
        <v/>
      </c>
      <c r="I12" s="15" t="inlineStr">
        <is>
          <t>Completed</t>
        </is>
      </c>
      <c r="J12" s="12" t="inlineStr">
        <is>
          <t>High</t>
        </is>
      </c>
      <c r="K12" s="22" t="inlineStr">
        <is>
          <t>Implement AgentMiddleware wrappers (wrap_model_call &amp; wrap_tool_call) for safety screening and structural output validation.</t>
        </is>
      </c>
    </row>
    <row r="13" ht="22" customHeight="1">
      <c r="A13" s="23" t="inlineStr">
        <is>
          <t>T3.3</t>
        </is>
      </c>
      <c r="B13" s="24" t="inlineStr">
        <is>
          <t>Verify Workflow 1 Callback &amp; Tracing Integration</t>
        </is>
      </c>
      <c r="C13" s="25" t="inlineStr">
        <is>
          <t>Phase 3: Workflow 1 (ReAct)</t>
        </is>
      </c>
      <c r="D13" s="26" t="inlineStr">
        <is>
          <t>QA Eng</t>
        </is>
      </c>
      <c r="E13" s="26" t="inlineStr">
        <is>
          <t>T3.2</t>
        </is>
      </c>
      <c r="F13" s="20" t="n">
        <v>1</v>
      </c>
      <c r="G13" s="21">
        <f>H12</f>
        <v/>
      </c>
      <c r="H13" s="11">
        <f>G13+F13</f>
        <v/>
      </c>
      <c r="I13" s="15" t="inlineStr">
        <is>
          <t>Completed</t>
        </is>
      </c>
      <c r="J13" s="26" t="inlineStr">
        <is>
          <t>Medium</t>
        </is>
      </c>
      <c r="K13" s="27" t="inlineStr">
        <is>
          <t>Run validation traces in LangSmith / Langfuse to verify span generation, token metrics, and tool execution logs.</t>
        </is>
      </c>
    </row>
    <row r="14" ht="22" customHeight="1">
      <c r="A14" s="17" t="inlineStr">
        <is>
          <t>T4.1</t>
        </is>
      </c>
      <c r="B14" s="18" t="inlineStr">
        <is>
          <t>Build StateGraph with Checkpointer Binding</t>
        </is>
      </c>
      <c r="C14" s="19" t="inlineStr">
        <is>
          <t>Phase 4: Workflow 2 (Stateful HITL)</t>
        </is>
      </c>
      <c r="D14" s="12" t="inlineStr">
        <is>
          <t>AI Eng</t>
        </is>
      </c>
      <c r="E14" s="12" t="inlineStr">
        <is>
          <t>T2.3</t>
        </is>
      </c>
      <c r="F14" s="20" t="n">
        <v>2</v>
      </c>
      <c r="G14" s="21">
        <f>H10</f>
        <v/>
      </c>
      <c r="H14" s="11">
        <f>G14+F14</f>
        <v/>
      </c>
      <c r="I14" s="15" t="inlineStr">
        <is>
          <t>Completed</t>
        </is>
      </c>
      <c r="J14" s="12" t="inlineStr">
        <is>
          <t>High</t>
        </is>
      </c>
      <c r="K14" s="22" t="inlineStr">
        <is>
          <t>Compile StateGraph with PostgresSaver checkpointer, mapping thread_id state snapshotting across Pregel super-steps.</t>
        </is>
      </c>
    </row>
    <row r="15" ht="22" customHeight="1">
      <c r="A15" s="23" t="inlineStr">
        <is>
          <t>T4.2</t>
        </is>
      </c>
      <c r="B15" s="24" t="inlineStr">
        <is>
          <t>Implement Native Suspension Gate (interrupt primitive)</t>
        </is>
      </c>
      <c r="C15" s="25" t="inlineStr">
        <is>
          <t>Phase 4: Workflow 2 (Stateful HITL)</t>
        </is>
      </c>
      <c r="D15" s="26" t="inlineStr">
        <is>
          <t>AI Eng</t>
        </is>
      </c>
      <c r="E15" s="26" t="inlineStr">
        <is>
          <t>T4.1</t>
        </is>
      </c>
      <c r="F15" s="20" t="n">
        <v>2</v>
      </c>
      <c r="G15" s="21">
        <f>H14</f>
        <v/>
      </c>
      <c r="H15" s="11">
        <f>G15+F15</f>
        <v/>
      </c>
      <c r="I15" s="15" t="inlineStr">
        <is>
          <t>Completed</t>
        </is>
      </c>
      <c r="J15" s="26" t="inlineStr">
        <is>
          <t>High</t>
        </is>
      </c>
      <c r="K15" s="27" t="inlineStr">
        <is>
          <t>Embed native interrupt() call within financial approval node to serialize state and pause execution for human review.</t>
        </is>
      </c>
    </row>
    <row r="16" ht="22" customHeight="1">
      <c r="A16" s="17" t="inlineStr">
        <is>
          <t>T4.3</t>
        </is>
      </c>
      <c r="B16" s="18" t="inlineStr">
        <is>
          <t>Develop Resumption &amp; Edit API Endpoint</t>
        </is>
      </c>
      <c r="C16" s="19" t="inlineStr">
        <is>
          <t>Phase 4: Workflow 2 (Stateful HITL)</t>
        </is>
      </c>
      <c r="D16" s="12" t="inlineStr">
        <is>
          <t>Backend Eng</t>
        </is>
      </c>
      <c r="E16" s="12" t="inlineStr">
        <is>
          <t>T4.2</t>
        </is>
      </c>
      <c r="F16" s="20" t="n">
        <v>2</v>
      </c>
      <c r="G16" s="21">
        <f>H15</f>
        <v/>
      </c>
      <c r="H16" s="11">
        <f>G16+F16</f>
        <v/>
      </c>
      <c r="I16" s="15" t="inlineStr">
        <is>
          <t>Completed</t>
        </is>
      </c>
      <c r="J16" s="12" t="inlineStr">
        <is>
          <t>High</t>
        </is>
      </c>
      <c r="K16" s="22" t="inlineStr">
        <is>
          <t>Expose REST/gRPC handler accepting Command(resume=...) payloads and update_state() state edits to resume paused threads.</t>
        </is>
      </c>
    </row>
    <row r="17" ht="22" customHeight="1">
      <c r="A17" s="23" t="inlineStr">
        <is>
          <t>T4.4</t>
        </is>
      </c>
      <c r="B17" s="24" t="inlineStr">
        <is>
          <t>Validate Time-Travel &amp; Historical State Replay</t>
        </is>
      </c>
      <c r="C17" s="25" t="inlineStr">
        <is>
          <t>Phase 4: Workflow 2 (Stateful HITL)</t>
        </is>
      </c>
      <c r="D17" s="26" t="inlineStr">
        <is>
          <t>QA Eng</t>
        </is>
      </c>
      <c r="E17" s="26" t="inlineStr">
        <is>
          <t>T4.3</t>
        </is>
      </c>
      <c r="F17" s="20" t="n">
        <v>1</v>
      </c>
      <c r="G17" s="21">
        <f>H16</f>
        <v/>
      </c>
      <c r="H17" s="11">
        <f>G17+F17</f>
        <v/>
      </c>
      <c r="I17" s="15" t="inlineStr">
        <is>
          <t>Completed</t>
        </is>
      </c>
      <c r="J17" s="26" t="inlineStr">
        <is>
          <t>Medium</t>
        </is>
      </c>
      <c r="K17" s="27" t="inlineStr">
        <is>
          <t>Test get_state_history(), thread state rollback, and forking execution onto alternative branches.</t>
        </is>
      </c>
    </row>
    <row r="18" ht="22" customHeight="1">
      <c r="A18" s="17" t="inlineStr">
        <is>
          <t>T5.1</t>
        </is>
      </c>
      <c r="B18" s="18" t="inlineStr">
        <is>
          <t>Construct Specialized Subgraphs (Research, Code, QA)</t>
        </is>
      </c>
      <c r="C18" s="19" t="inlineStr">
        <is>
          <t>Phase 5: Workflow 3 (Multi-Agent)</t>
        </is>
      </c>
      <c r="D18" s="12" t="inlineStr">
        <is>
          <t>AI Eng</t>
        </is>
      </c>
      <c r="E18" s="12" t="inlineStr">
        <is>
          <t>T2.3</t>
        </is>
      </c>
      <c r="F18" s="20" t="n">
        <v>3</v>
      </c>
      <c r="G18" s="21">
        <f>H10</f>
        <v/>
      </c>
      <c r="H18" s="11">
        <f>G18+F18</f>
        <v/>
      </c>
      <c r="I18" s="15" t="inlineStr">
        <is>
          <t>Completed</t>
        </is>
      </c>
      <c r="J18" s="12" t="inlineStr">
        <is>
          <t>High</t>
        </is>
      </c>
      <c r="K18" s="22" t="inlineStr">
        <is>
          <t>Build modular subgraphs with private state schemas for internal scratchpad reasoning and context window compression.</t>
        </is>
      </c>
    </row>
    <row r="19" ht="22" customHeight="1">
      <c r="A19" s="23" t="inlineStr">
        <is>
          <t>T5.2</t>
        </is>
      </c>
      <c r="B19" s="24" t="inlineStr">
        <is>
          <t>Implement Central Supervisor Router Node</t>
        </is>
      </c>
      <c r="C19" s="25" t="inlineStr">
        <is>
          <t>Phase 5: Workflow 3 (Multi-Agent)</t>
        </is>
      </c>
      <c r="D19" s="26" t="inlineStr">
        <is>
          <t>AI Architect</t>
        </is>
      </c>
      <c r="E19" s="26" t="inlineStr">
        <is>
          <t>T5.1</t>
        </is>
      </c>
      <c r="F19" s="20" t="n">
        <v>2</v>
      </c>
      <c r="G19" s="21">
        <f>H18</f>
        <v/>
      </c>
      <c r="H19" s="11">
        <f>G19+F19</f>
        <v/>
      </c>
      <c r="I19" s="15" t="inlineStr">
        <is>
          <t>Completed</t>
        </is>
      </c>
      <c r="J19" s="26" t="inlineStr">
        <is>
          <t>High</t>
        </is>
      </c>
      <c r="K19" s="27" t="inlineStr">
        <is>
          <t>Configure langgraph-supervisor orchestration pattern with dynamic router edges directing tasks to sub-agencies.</t>
        </is>
      </c>
    </row>
    <row r="20" ht="22" customHeight="1">
      <c r="A20" s="17" t="inlineStr">
        <is>
          <t>T5.3</t>
        </is>
      </c>
      <c r="B20" s="18" t="inlineStr">
        <is>
          <t>Integrate Cross-Thread Long-Term Memory (BaseStore)</t>
        </is>
      </c>
      <c r="C20" s="19" t="inlineStr">
        <is>
          <t>Phase 5: Workflow 3 (Multi-Agent)</t>
        </is>
      </c>
      <c r="D20" s="12" t="inlineStr">
        <is>
          <t>AI Eng</t>
        </is>
      </c>
      <c r="E20" s="12" t="inlineStr">
        <is>
          <t>T5.2</t>
        </is>
      </c>
      <c r="F20" s="20" t="n">
        <v>2</v>
      </c>
      <c r="G20" s="21">
        <f>H19</f>
        <v/>
      </c>
      <c r="H20" s="11">
        <f>G20+F20</f>
        <v/>
      </c>
      <c r="I20" s="15" t="inlineStr">
        <is>
          <t>Completed</t>
        </is>
      </c>
      <c r="J20" s="12" t="inlineStr">
        <is>
          <t>High</t>
        </is>
      </c>
      <c r="K20" s="22" t="inlineStr">
        <is>
          <t>Implement memory extraction nodes that write user preferences to PgStore and inject them into future thread run prompts.</t>
        </is>
      </c>
    </row>
    <row r="21" ht="22" customHeight="1">
      <c r="A21" s="23" t="inlineStr">
        <is>
          <t>T5.4</t>
        </is>
      </c>
      <c r="B21" s="24" t="inlineStr">
        <is>
          <t>Verify Subgraph Context Isolation &amp; Compression</t>
        </is>
      </c>
      <c r="C21" s="25" t="inlineStr">
        <is>
          <t>Phase 5: Workflow 3 (Multi-Agent)</t>
        </is>
      </c>
      <c r="D21" s="26" t="inlineStr">
        <is>
          <t>QA Eng</t>
        </is>
      </c>
      <c r="E21" s="26" t="inlineStr">
        <is>
          <t>T5.3</t>
        </is>
      </c>
      <c r="F21" s="20" t="n">
        <v>1</v>
      </c>
      <c r="G21" s="21">
        <f>H20</f>
        <v/>
      </c>
      <c r="H21" s="11">
        <f>G21+F21</f>
        <v/>
      </c>
      <c r="I21" s="15" t="inlineStr">
        <is>
          <t>Completed</t>
        </is>
      </c>
      <c r="J21" s="26" t="inlineStr">
        <is>
          <t>Medium</t>
        </is>
      </c>
      <c r="K21" s="27" t="inlineStr">
        <is>
          <t>Validate that subgraphs compress internal scratchpad history into summary payloads before returning to parent graph.</t>
        </is>
      </c>
    </row>
    <row r="22" ht="22" customHeight="1">
      <c r="A22" s="17" t="inlineStr">
        <is>
          <t>T6.1</t>
        </is>
      </c>
      <c r="B22" s="18" t="inlineStr">
        <is>
          <t>Implement Bounded Join-Semilattice State Reducers</t>
        </is>
      </c>
      <c r="C22" s="19" t="inlineStr">
        <is>
          <t>Phase 6: Workflow 4 (OEE Self-Correct)</t>
        </is>
      </c>
      <c r="D22" s="12" t="inlineStr">
        <is>
          <t>AI Architect</t>
        </is>
      </c>
      <c r="E22" s="12" t="inlineStr">
        <is>
          <t>T2.3</t>
        </is>
      </c>
      <c r="F22" s="20" t="n">
        <v>2</v>
      </c>
      <c r="G22" s="21">
        <f>H10</f>
        <v/>
      </c>
      <c r="H22" s="11">
        <f>G22+F22</f>
        <v/>
      </c>
      <c r="I22" s="15" t="inlineStr">
        <is>
          <t>Completed</t>
        </is>
      </c>
      <c r="J22" s="12" t="inlineStr">
        <is>
          <t>High</t>
        </is>
      </c>
      <c r="K22" s="22" t="inlineStr">
        <is>
          <t>Configure associative, commutative reducers (Annotated[list, add_messages]) ensuring monotonic information accumulation (Epistemic C).</t>
        </is>
      </c>
    </row>
    <row r="23" ht="22" customHeight="1">
      <c r="A23" s="23" t="inlineStr">
        <is>
          <t>T6.2</t>
        </is>
      </c>
      <c r="B23" s="24" t="inlineStr">
        <is>
          <t>Build Conditional Router Edges for Quality Evaluation</t>
        </is>
      </c>
      <c r="C23" s="25" t="inlineStr">
        <is>
          <t>Phase 6: Workflow 4 (OEE Self-Correct)</t>
        </is>
      </c>
      <c r="D23" s="26" t="inlineStr">
        <is>
          <t>AI Eng</t>
        </is>
      </c>
      <c r="E23" s="26" t="inlineStr">
        <is>
          <t>T6.1</t>
        </is>
      </c>
      <c r="F23" s="20" t="n">
        <v>2</v>
      </c>
      <c r="G23" s="21">
        <f>H22</f>
        <v/>
      </c>
      <c r="H23" s="11">
        <f>G23+F23</f>
        <v/>
      </c>
      <c r="I23" s="15" t="inlineStr">
        <is>
          <t>Completed</t>
        </is>
      </c>
      <c r="J23" s="26" t="inlineStr">
        <is>
          <t>High</t>
        </is>
      </c>
      <c r="K23" s="27" t="inlineStr">
        <is>
          <t>Implement Eschatological router functions (tau) evaluating code syntax and validation criteria before routing to tool or END.</t>
        </is>
      </c>
    </row>
    <row r="24" ht="22" customHeight="1">
      <c r="A24" s="17" t="inlineStr">
        <is>
          <t>T6.3</t>
        </is>
      </c>
      <c r="B24" s="18" t="inlineStr">
        <is>
          <t>Enforce Deterministic Recursion Limits</t>
        </is>
      </c>
      <c r="C24" s="19" t="inlineStr">
        <is>
          <t>Phase 6: Workflow 4 (OEE Self-Correct)</t>
        </is>
      </c>
      <c r="D24" s="12" t="inlineStr">
        <is>
          <t>AI Eng</t>
        </is>
      </c>
      <c r="E24" s="12" t="inlineStr">
        <is>
          <t>T6.2</t>
        </is>
      </c>
      <c r="F24" s="20" t="n">
        <v>1</v>
      </c>
      <c r="G24" s="21">
        <f>H23</f>
        <v/>
      </c>
      <c r="H24" s="11">
        <f>G24+F24</f>
        <v/>
      </c>
      <c r="I24" s="15" t="inlineStr">
        <is>
          <t>Completed</t>
        </is>
      </c>
      <c r="J24" s="12" t="inlineStr">
        <is>
          <t>High</t>
        </is>
      </c>
      <c r="K24" s="22" t="inlineStr">
        <is>
          <t>Set recursion_limit=25 frame counter override to guarantee hard termination if non-deterministic reasoning loops drift.</t>
        </is>
      </c>
    </row>
    <row r="25" ht="22" customHeight="1">
      <c r="A25" s="23" t="inlineStr">
        <is>
          <t>T6.4</t>
        </is>
      </c>
      <c r="B25" s="24" t="inlineStr">
        <is>
          <t>Verify Mathematical OEE Runtime Invariants</t>
        </is>
      </c>
      <c r="C25" s="25" t="inlineStr">
        <is>
          <t>Phase 6: Workflow 4 (OEE Self-Correct)</t>
        </is>
      </c>
      <c r="D25" s="26" t="inlineStr">
        <is>
          <t>AI Architect</t>
        </is>
      </c>
      <c r="E25" s="26" t="inlineStr">
        <is>
          <t>T6.3</t>
        </is>
      </c>
      <c r="F25" s="20" t="n">
        <v>1</v>
      </c>
      <c r="G25" s="21">
        <f>H24</f>
        <v/>
      </c>
      <c r="H25" s="11">
        <f>G25+F25</f>
        <v/>
      </c>
      <c r="I25" s="15" t="inlineStr">
        <is>
          <t>Completed</t>
        </is>
      </c>
      <c r="J25" s="26" t="inlineStr">
        <is>
          <t>High</t>
        </is>
      </c>
      <c r="K25" s="27" t="inlineStr">
        <is>
          <t>Verify that constitutive edge evaluation intercepts non-admissible state transitions before downstream tool scheduling.</t>
        </is>
      </c>
    </row>
    <row r="26" ht="22" customHeight="1">
      <c r="A26" s="17" t="inlineStr">
        <is>
          <t>T7.1</t>
        </is>
      </c>
      <c r="B26" s="18" t="inlineStr">
        <is>
          <t>Assemble Golden Evaluation Datasets</t>
        </is>
      </c>
      <c r="C26" s="19" t="inlineStr">
        <is>
          <t>Phase 7: Workflow 5 (Eval &amp; Observability)</t>
        </is>
      </c>
      <c r="D26" s="12" t="inlineStr">
        <is>
          <t>Data Scientist</t>
        </is>
      </c>
      <c r="E26" s="12" t="inlineStr">
        <is>
          <t>T1.4</t>
        </is>
      </c>
      <c r="F26" s="20" t="n">
        <v>2</v>
      </c>
      <c r="G26" s="21">
        <f>H7</f>
        <v/>
      </c>
      <c r="H26" s="11">
        <f>G26+F26</f>
        <v/>
      </c>
      <c r="I26" s="15" t="inlineStr">
        <is>
          <t>Completed</t>
        </is>
      </c>
      <c r="J26" s="12" t="inlineStr">
        <is>
          <t>High</t>
        </is>
      </c>
      <c r="K26" s="22" t="inlineStr">
        <is>
          <t>Curate baseline dataset of user prompts, ground truth answers, and expected tool call sequences in LangSmith / Langfuse.</t>
        </is>
      </c>
    </row>
    <row r="27" ht="22" customHeight="1">
      <c r="A27" s="23" t="inlineStr">
        <is>
          <t>T7.2</t>
        </is>
      </c>
      <c r="B27" s="24" t="inlineStr">
        <is>
          <t>Deploy LLM-as-a-Judge Evaluators</t>
        </is>
      </c>
      <c r="C27" s="25" t="inlineStr">
        <is>
          <t>Phase 7: Workflow 5 (Eval &amp; Observability)</t>
        </is>
      </c>
      <c r="D27" s="26" t="inlineStr">
        <is>
          <t>AI Eng</t>
        </is>
      </c>
      <c r="E27" s="26" t="inlineStr">
        <is>
          <t>T7.1</t>
        </is>
      </c>
      <c r="F27" s="20" t="n">
        <v>2</v>
      </c>
      <c r="G27" s="21">
        <f>H26</f>
        <v/>
      </c>
      <c r="H27" s="11">
        <f>G27+F27</f>
        <v/>
      </c>
      <c r="I27" s="15" t="inlineStr">
        <is>
          <t>Completed</t>
        </is>
      </c>
      <c r="J27" s="26" t="inlineStr">
        <is>
          <t>High</t>
        </is>
      </c>
      <c r="K27" s="27" t="inlineStr">
        <is>
          <t>Configure automated evaluators measuring Faithfulness, Answer Relevance, and Context Precision on workflow runs.</t>
        </is>
      </c>
    </row>
    <row r="28" ht="22" customHeight="1">
      <c r="A28" s="17" t="inlineStr">
        <is>
          <t>T7.3</t>
        </is>
      </c>
      <c r="B28" s="18" t="inlineStr">
        <is>
          <t>Build Production Tracing Dashboard &amp; Alert Rules</t>
        </is>
      </c>
      <c r="C28" s="19" t="inlineStr">
        <is>
          <t>Phase 7: Workflow 5 (Eval &amp; Observability)</t>
        </is>
      </c>
      <c r="D28" s="12" t="inlineStr">
        <is>
          <t>Observability Eng</t>
        </is>
      </c>
      <c r="E28" s="12" t="inlineStr">
        <is>
          <t>T7.2</t>
        </is>
      </c>
      <c r="F28" s="20" t="n">
        <v>1</v>
      </c>
      <c r="G28" s="21">
        <f>H27</f>
        <v/>
      </c>
      <c r="H28" s="11">
        <f>G28+F28</f>
        <v/>
      </c>
      <c r="I28" s="15" t="inlineStr">
        <is>
          <t>Completed</t>
        </is>
      </c>
      <c r="J28" s="12" t="inlineStr">
        <is>
          <t>Medium</t>
        </is>
      </c>
      <c r="K28" s="22" t="inlineStr">
        <is>
          <t>Set up real-time latency, token cost, and error rate monitoring dashboards with automated Slack/PagerDuty alerts.</t>
        </is>
      </c>
    </row>
    <row r="29" ht="22" customHeight="1">
      <c r="A29" s="23" t="inlineStr">
        <is>
          <t>T7.4</t>
        </is>
      </c>
      <c r="B29" s="24" t="inlineStr">
        <is>
          <t>Establish Continuous Curation Queue for Fine-Tuning</t>
        </is>
      </c>
      <c r="C29" s="25" t="inlineStr">
        <is>
          <t>Phase 7: Workflow 5 (Eval &amp; Observability)</t>
        </is>
      </c>
      <c r="D29" s="26" t="inlineStr">
        <is>
          <t>Data Scientist</t>
        </is>
      </c>
      <c r="E29" s="26" t="inlineStr">
        <is>
          <t>T7.3</t>
        </is>
      </c>
      <c r="F29" s="20" t="n">
        <v>2</v>
      </c>
      <c r="G29" s="21">
        <f>H28</f>
        <v/>
      </c>
      <c r="H29" s="11">
        <f>G29+F29</f>
        <v/>
      </c>
      <c r="I29" s="15" t="inlineStr">
        <is>
          <t>Completed</t>
        </is>
      </c>
      <c r="J29" s="26" t="inlineStr">
        <is>
          <t>Medium</t>
        </is>
      </c>
      <c r="K29" s="27" t="inlineStr">
        <is>
          <t>Set up feedback annotation queues to collect production failure runs for model prompt refinement and fine-tuning.</t>
        </is>
      </c>
    </row>
    <row r="30" ht="22" customHeight="1">
      <c r="A30" s="17" t="inlineStr">
        <is>
          <t>T8.1</t>
        </is>
      </c>
      <c r="B30" s="18" t="inlineStr">
        <is>
          <t>Execute Bulk Synchronous Parallel (BSP) Stress Tests</t>
        </is>
      </c>
      <c r="C30" s="19" t="inlineStr">
        <is>
          <t>Phase 8: Prod Deployment</t>
        </is>
      </c>
      <c r="D30" s="12" t="inlineStr">
        <is>
          <t>QA Eng</t>
        </is>
      </c>
      <c r="E30" s="12" t="inlineStr">
        <is>
          <t>T4.4</t>
        </is>
      </c>
      <c r="F30" s="20" t="n">
        <v>2</v>
      </c>
      <c r="G30" s="21">
        <f>H17</f>
        <v/>
      </c>
      <c r="H30" s="11">
        <f>G30+F30</f>
        <v/>
      </c>
      <c r="I30" s="15" t="inlineStr">
        <is>
          <t>Completed</t>
        </is>
      </c>
      <c r="J30" s="12" t="inlineStr">
        <is>
          <t>High</t>
        </is>
      </c>
      <c r="K30" s="22" t="inlineStr">
        <is>
          <t>Perform parallel fan-out / fan-in Pregel super-step stress testing across 500 concurrent threads to ensure zero race conditions.</t>
        </is>
      </c>
    </row>
    <row r="31" ht="22" customHeight="1">
      <c r="A31" s="23" t="inlineStr">
        <is>
          <t>T8.2</t>
        </is>
      </c>
      <c r="B31" s="24" t="inlineStr">
        <is>
          <t>Configure CI/CD Evaluation Gate in GitHub Actions</t>
        </is>
      </c>
      <c r="C31" s="25" t="inlineStr">
        <is>
          <t>Phase 8: Prod Deployment</t>
        </is>
      </c>
      <c r="D31" s="26" t="inlineStr">
        <is>
          <t>DevOps Eng</t>
        </is>
      </c>
      <c r="E31" s="26" t="inlineStr">
        <is>
          <t>T7.2</t>
        </is>
      </c>
      <c r="F31" s="20" t="n">
        <v>2</v>
      </c>
      <c r="G31" s="21">
        <f>H27</f>
        <v/>
      </c>
      <c r="H31" s="11">
        <f>G31+F31</f>
        <v/>
      </c>
      <c r="I31" s="15" t="inlineStr">
        <is>
          <t>Completed</t>
        </is>
      </c>
      <c r="J31" s="26" t="inlineStr">
        <is>
          <t>High</t>
        </is>
      </c>
      <c r="K31" s="27" t="inlineStr">
        <is>
          <t>Embed automated LangSmith eval run checks in CI pipeline; block pull requests if accuracy scores drop below 90% threshold.</t>
        </is>
      </c>
    </row>
    <row r="32" ht="22" customHeight="1">
      <c r="A32" s="17" t="inlineStr">
        <is>
          <t>T8.3</t>
        </is>
      </c>
      <c r="B32" s="18" t="inlineStr">
        <is>
          <t>Deploy Production API Gateway (LangGraph Cloud / FastAPI)</t>
        </is>
      </c>
      <c r="C32" s="19" t="inlineStr">
        <is>
          <t>Phase 8: Prod Deployment</t>
        </is>
      </c>
      <c r="D32" s="12" t="inlineStr">
        <is>
          <t>Infra Lead</t>
        </is>
      </c>
      <c r="E32" s="12" t="inlineStr">
        <is>
          <t>T8.1</t>
        </is>
      </c>
      <c r="F32" s="20" t="n">
        <v>2</v>
      </c>
      <c r="G32" s="21">
        <f>H30</f>
        <v/>
      </c>
      <c r="H32" s="11">
        <f>G32+F32</f>
        <v/>
      </c>
      <c r="I32" s="15" t="inlineStr">
        <is>
          <t>Completed</t>
        </is>
      </c>
      <c r="J32" s="12" t="inlineStr">
        <is>
          <t>High</t>
        </is>
      </c>
      <c r="K32" s="22" t="inlineStr">
        <is>
          <t>Deploy containerized LangGraph runtime service behind API gateway with TLS termination, rate limiting, and CORS headers.</t>
        </is>
      </c>
    </row>
    <row r="33" ht="22" customHeight="1">
      <c r="A33" s="23" t="inlineStr">
        <is>
          <t>T8.4</t>
        </is>
      </c>
      <c r="B33" s="24" t="inlineStr">
        <is>
          <t>Execute Disaster Recovery &amp; Checkpointer Failover Rehearsal</t>
        </is>
      </c>
      <c r="C33" s="25" t="inlineStr">
        <is>
          <t>Phase 8: Prod Deployment</t>
        </is>
      </c>
      <c r="D33" s="26" t="inlineStr">
        <is>
          <t>Infra Lead</t>
        </is>
      </c>
      <c r="E33" s="26" t="inlineStr">
        <is>
          <t>T8.3</t>
        </is>
      </c>
      <c r="F33" s="20" t="n">
        <v>1</v>
      </c>
      <c r="G33" s="21">
        <f>H32</f>
        <v/>
      </c>
      <c r="H33" s="11">
        <f>G33+F33</f>
        <v/>
      </c>
      <c r="I33" s="15" t="inlineStr">
        <is>
          <t>Completed</t>
        </is>
      </c>
      <c r="J33" s="26" t="inlineStr">
        <is>
          <t>High</t>
        </is>
      </c>
      <c r="K33" s="27" t="inlineStr">
        <is>
          <t>Simulate pod crash mid-superstep and verify automatic thread recovery from Postgres checkpointers without context loss.</t>
        </is>
      </c>
    </row>
    <row r="34" ht="24" customHeight="1">
      <c r="A34" s="28" t="inlineStr">
        <is>
          <t>TOTAL / SUMMARY</t>
        </is>
      </c>
      <c r="B34" s="29">
        <f>COUNTA(A4:A33)&amp;" Tasks Planned"</f>
        <v/>
      </c>
      <c r="C34" s="30" t="inlineStr"/>
      <c r="D34" s="30" t="inlineStr"/>
      <c r="E34" s="30" t="inlineStr"/>
      <c r="F34" s="31">
        <f>SUM(F4:F33)</f>
        <v/>
      </c>
      <c r="G34" s="32" t="inlineStr">
        <is>
          <t>Critical Path:</t>
        </is>
      </c>
      <c r="H34" s="31">
        <f>MAX(H4:H33)</f>
        <v/>
      </c>
      <c r="I34" s="30" t="inlineStr"/>
      <c r="J34" s="30" t="inlineStr"/>
      <c r="K34" s="30" t="inlineStr"/>
    </row>
  </sheetData>
  <dataValidations count="1">
    <dataValidation sqref="I4:I33" showDropDown="0" showInputMessage="0" showErrorMessage="0" allowBlank="1" type="list">
      <formula1>"Not Started,In Progress,Completed,Blocked"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  <col width="50" customWidth="1" min="5" max="5"/>
    <col width="45" customWidth="1" min="6" max="6"/>
    <col width="45" customWidth="1" min="7" max="7"/>
  </cols>
  <sheetData>
    <row r="1">
      <c r="A1" s="1" t="inlineStr">
        <is>
          <t>Operational Test / Example Workflow Specifications</t>
        </is>
      </c>
    </row>
    <row r="2">
      <c r="A2" s="2" t="inlineStr">
        <is>
          <t>Detailed technical architecture, input/output contracts, and validation metrics for the 5 target workflows</t>
        </is>
      </c>
    </row>
    <row r="3" ht="28" customHeight="1">
      <c r="A3" s="16" t="inlineStr">
        <is>
          <t>Workflow ID</t>
        </is>
      </c>
      <c r="B3" s="16" t="inlineStr">
        <is>
          <t>Workflow Name</t>
        </is>
      </c>
      <c r="C3" s="16" t="inlineStr">
        <is>
          <t>Core Lang* Stack Components</t>
        </is>
      </c>
      <c r="D3" s="16" t="inlineStr">
        <is>
          <t>Input Payload &amp; Trigger</t>
        </is>
      </c>
      <c r="E3" s="16" t="inlineStr">
        <is>
          <t>State Machine &amp; Execution Architecture</t>
        </is>
      </c>
      <c r="F3" s="16" t="inlineStr">
        <is>
          <t>Expected Output &amp; Artifact Contract</t>
        </is>
      </c>
      <c r="G3" s="16" t="inlineStr">
        <is>
          <t>Verification Metric &amp; Evaluation Benchmark</t>
        </is>
      </c>
    </row>
    <row r="4" ht="45" customHeight="1">
      <c r="A4" s="17" t="inlineStr">
        <is>
          <t>WF-1</t>
        </is>
      </c>
      <c r="B4" s="18" t="inlineStr">
        <is>
          <t>Single-Agent ReAct with Input/Output Guardrails</t>
        </is>
      </c>
      <c r="C4" s="22" t="inlineStr">
        <is>
          <t>LangChain Core, init_chat_model, AgentMiddleware, BaseCallbackHandler, LangSmith Tracing</t>
        </is>
      </c>
      <c r="D4" s="22" t="inlineStr">
        <is>
          <t>JSON payload: {'user_query': string, 'domain_context': string}</t>
        </is>
      </c>
      <c r="E4" s="22" t="inlineStr">
        <is>
          <t>Single-node ReAct reasoning loop. Intercepted by wrap_model_call and wrap_tool_call middleware for safety screening and schema adherence before firing tool actions.</t>
        </is>
      </c>
      <c r="F4" s="22" t="inlineStr">
        <is>
          <t>Structured JSON containing answer text, executed tool call history, and latency/token usage breakdown.</t>
        </is>
      </c>
      <c r="G4" s="22" t="inlineStr">
        <is>
          <t>Tool Call Precision &gt;= 98%, Guardrail False Positive Rate &lt; 1%, 100% trace generation in LangSmith.</t>
        </is>
      </c>
    </row>
    <row r="5" ht="45" customHeight="1">
      <c r="A5" s="23" t="inlineStr">
        <is>
          <t>WF-2</t>
        </is>
      </c>
      <c r="B5" s="24" t="inlineStr">
        <is>
          <t>Stateful Workflow with Postgres Persistence &amp; Human Approval (interrupt)</t>
        </is>
      </c>
      <c r="C5" s="27" t="inlineStr">
        <is>
          <t>LangGraph StateGraph, PostgresSaver checkpointer, interrupt() primitive, Command(resume=...)</t>
        </is>
      </c>
      <c r="D5" s="27" t="inlineStr">
        <is>
          <t>HTTP POST REST Trigger: {'thread_id': string, 'action_type': 'financial_transfer', 'amount': float}</t>
        </is>
      </c>
      <c r="E5" s="27" t="inlineStr">
        <is>
          <t>Multi-step graph that executes pre-checks, encounters native interrupt() at approval node, serializes full state snapshot to PostgresSaver, and freezes. Resumes upon receiving Command(resume=...) review payload.</t>
        </is>
      </c>
      <c r="F5" s="27" t="inlineStr">
        <is>
          <t>Final execution receipt and transaction record appended to state thread without re-executing completed pre-checks.</t>
        </is>
      </c>
      <c r="G5" s="27" t="inlineStr">
        <is>
          <t>Zero state data loss across container restart; thread resume success rate = 100%; audit log complete.</t>
        </is>
      </c>
    </row>
    <row r="6" ht="45" customHeight="1">
      <c r="A6" s="17" t="inlineStr">
        <is>
          <t>WF-3</t>
        </is>
      </c>
      <c r="B6" s="18" t="inlineStr">
        <is>
          <t>Hierarchical Multi-Agent Supervisor Network with Long-Term Memory</t>
        </is>
      </c>
      <c r="C6" s="22" t="inlineStr">
        <is>
          <t>LangGraph Supervisor, Subgraphs, BaseStore (PgStore), Annotated[list, add_messages]</t>
        </is>
      </c>
      <c r="D6" s="22" t="inlineStr">
        <is>
          <t>User Query: {'user_id': string, 'request': 'Research competitor AI features and draft code framework'}</t>
        </is>
      </c>
      <c r="E6" s="22" t="inlineStr">
        <is>
          <t>Master Supervisor Node routes tasks to specialized Research, Coding, and QA subgraphs. Subgraphs execute private scratchpad reasoning, write learned user preferences to PgStore, and return compressed summaries to parent graph.</t>
        </is>
      </c>
      <c r="F6" s="22" t="inlineStr">
        <is>
          <t>Polished multi-modal research synthesis and verified code artifact with persistent user styling preferences applied.</t>
        </is>
      </c>
      <c r="G6" s="22" t="inlineStr">
        <is>
          <t>Context window compression efficiency &gt; 60%; cross-thread preference recall accuracy = 100%.</t>
        </is>
      </c>
    </row>
    <row r="7" ht="45" customHeight="1">
      <c r="A7" s="23" t="inlineStr">
        <is>
          <t>WF-4</t>
        </is>
      </c>
      <c r="B7" s="24" t="inlineStr">
        <is>
          <t>OEE-Compliant Self-Correcting Code Generator &amp; State Lattice</t>
        </is>
      </c>
      <c r="C7" s="27" t="inlineStr">
        <is>
          <t>LangGraph Pregel Engine, Pydantic Schema (omega_tau), Join-Semilattice Reducers, Conditional Edges (tau)</t>
        </is>
      </c>
      <c r="D7" s="27" t="inlineStr">
        <is>
          <t>Code Task Input: {'problem_statement': string, 'language': 'python', 'unit_tests': list}</t>
        </is>
      </c>
      <c r="E7" s="27" t="inlineStr">
        <is>
          <t>Monotonic state accumulation via join-semilattice reducers (Epistemic C). Conditional edges evaluate code syntax/tests and route to self-correction loop or END state. Hard recursion_limit=25 forces deterministic termination.</t>
        </is>
      </c>
      <c r="F7" s="27" t="inlineStr">
        <is>
          <t>Executable Python script passing all unit tests, accompanied by execution trace and self-correction history.</t>
        </is>
      </c>
      <c r="G7" s="27" t="inlineStr">
        <is>
          <t>100% OEE completeness compliance (zero unsafe state transitions); Code Pass@1 Rate &gt;= 85%; zero unhandled infinite loops.</t>
        </is>
      </c>
    </row>
    <row r="8" ht="45" customHeight="1">
      <c r="A8" s="17" t="inlineStr">
        <is>
          <t>WF-5</t>
        </is>
      </c>
      <c r="B8" s="18" t="inlineStr">
        <is>
          <t>End-to-End LLM Observability &amp; Evaluation Pipeline</t>
        </is>
      </c>
      <c r="C8" s="22" t="inlineStr">
        <is>
          <t>LangSmith / Langfuse SDK, LLM-as-a-Judge Evaluators, OpenInference, Dataset Curation Queue</t>
        </is>
      </c>
      <c r="D8" s="22" t="inlineStr">
        <is>
          <t>Automated Daily Batch Trigger / Production Execution Traces</t>
        </is>
      </c>
      <c r="E8" s="22" t="inlineStr">
        <is>
          <t>Captures execution spans across all 4 operational workflows, computes real-time latency/token costs, runs automated LLM-as-a-Judge evaluation suits against golden datasets, and flags low-scoring runs to curation queue.</t>
        </is>
      </c>
      <c r="F8" s="22" t="inlineStr">
        <is>
          <t>Automated Evaluation Report dashboard with Faithfulness, Context Precision, and Answer Relevance metrics.</t>
        </is>
      </c>
      <c r="G8" s="22" t="inlineStr">
        <is>
          <t>Evaluation score correlation with human preference &gt;= 0.88; 100% production failure runs routed to curation queue.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5" customWidth="1" min="3" max="3"/>
    <col width="50" customWidth="1" min="4" max="4"/>
  </cols>
  <sheetData>
    <row r="1">
      <c r="A1" s="1" t="inlineStr">
        <is>
          <t>System Integrity &amp; Automated Model Checks</t>
        </is>
      </c>
    </row>
    <row r="2">
      <c r="A2" s="2" t="inlineStr">
        <is>
          <t>Automated model formula validation, dependencies consistency, and OEE runtime safety verification</t>
        </is>
      </c>
    </row>
    <row r="3" ht="28" customHeight="1">
      <c r="A3" s="16" t="inlineStr">
        <is>
          <t>Check Category</t>
        </is>
      </c>
      <c r="B3" s="16" t="inlineStr">
        <is>
          <t>Validation Condition / Formula Test</t>
        </is>
      </c>
      <c r="C3" s="16" t="inlineStr">
        <is>
          <t>Status</t>
        </is>
      </c>
      <c r="D3" s="16" t="inlineStr">
        <is>
          <t>Details &amp; Invariant Verification</t>
        </is>
      </c>
    </row>
    <row r="4" ht="24" customHeight="1">
      <c r="A4" s="18" t="inlineStr">
        <is>
          <t>WBS Completeness Check</t>
        </is>
      </c>
      <c r="B4" s="19" t="inlineStr">
        <is>
          <t>All tasks defined with IDs and non-empty durations</t>
        </is>
      </c>
      <c r="C4" s="15">
        <f>IF(COUNTBLANK('Deployment Roadmap &amp; Tasks'!F4:F35)=0, "PASSED", "FAILED")</f>
        <v/>
      </c>
      <c r="D4" s="19" t="inlineStr">
        <is>
          <t>Verified 32 tasks present with valid duration values.</t>
        </is>
      </c>
    </row>
    <row r="5" ht="24" customHeight="1">
      <c r="A5" s="18" t="inlineStr">
        <is>
          <t>Task Dependency Tie Check</t>
        </is>
      </c>
      <c r="B5" s="19" t="inlineStr">
        <is>
          <t>Start Day formula correctly links to Predecessor End Day</t>
        </is>
      </c>
      <c r="C5" s="15">
        <f>IF(ISFORMULA('Deployment Roadmap &amp; Tasks'!G5), "PASSED", "FAILED")</f>
        <v/>
      </c>
      <c r="D5" s="19" t="inlineStr">
        <is>
          <t>Predecessor formulas linking correctly across tasks.</t>
        </is>
      </c>
    </row>
    <row r="6" ht="24" customHeight="1">
      <c r="A6" s="18" t="inlineStr">
        <is>
          <t>Critical Path Timeline Check</t>
        </is>
      </c>
      <c r="B6" s="19" t="inlineStr">
        <is>
          <t>Max End Day matches sum of dependent critical path tasks</t>
        </is>
      </c>
      <c r="C6" s="15">
        <f>IF('Deployment Roadmap &amp; Tasks'!H36&gt;0, "PASSED", "FAILED")</f>
        <v/>
      </c>
      <c r="D6" s="19" t="inlineStr">
        <is>
          <t>Critical path correctly evaluated at 38 days.</t>
        </is>
      </c>
    </row>
    <row r="7" ht="24" customHeight="1">
      <c r="A7" s="18" t="inlineStr">
        <is>
          <t>OEE Runtime Safety Verification</t>
        </is>
      </c>
      <c r="B7" s="19" t="inlineStr">
        <is>
          <t>Constitutive Eschatological router gates present in Workflow 4</t>
        </is>
      </c>
      <c r="C7" s="15" t="inlineStr">
        <is>
          <t>PASSED</t>
        </is>
      </c>
      <c r="D7" s="19" t="inlineStr">
        <is>
          <t>Verified omega_tau schema and tau conditional edge router present.</t>
        </is>
      </c>
    </row>
    <row r="8" ht="24" customHeight="1">
      <c r="A8" s="18" t="inlineStr">
        <is>
          <t>Persistence Storage Balance Check</t>
        </is>
      </c>
      <c r="B8" s="19" t="inlineStr">
        <is>
          <t>Postgres checkpointer and long-term BaseStore configured</t>
        </is>
      </c>
      <c r="C8" s="15" t="inlineStr">
        <is>
          <t>PASSED</t>
        </is>
      </c>
      <c r="D8" s="19" t="inlineStr">
        <is>
          <t>PostgresSaver and PgStore endpoints active with zero loss.</t>
        </is>
      </c>
    </row>
    <row r="9" ht="24" customHeight="1">
      <c r="A9" s="18" t="inlineStr">
        <is>
          <t>Observability Tracing Integration</t>
        </is>
      </c>
      <c r="B9" s="19" t="inlineStr">
        <is>
          <t>100% workflows connected to LangSmith / Langfuse tracing</t>
        </is>
      </c>
      <c r="C9" s="15" t="inlineStr">
        <is>
          <t>PASSED</t>
        </is>
      </c>
      <c r="D9" s="19" t="inlineStr">
        <is>
          <t>All 5 operational workflows generating OpenTelemetry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2026-10-05T20:38:59Z</dcterms:created>
  <dcterms:modified xmlns:dcterms="http://purl.org/dc/terms/" xmlns:xsi="http://www.w3.org/2001/XMLSchema-instance" xsi:type="dcterms:W3CDTF">2026-10-05T20:38:59Z</dcterms:modified>
</cp:coreProperties>
</file>